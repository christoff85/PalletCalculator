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75" yWindow="255" windowWidth="14925" windowHeight="1950"/>
  </bookViews>
  <sheets>
    <sheet name="DesignTable" sheetId="1" r:id="rId1"/>
    <sheet name="Settings" sheetId="2" r:id="rId2"/>
  </sheets>
  <functionGroups builtInGroupCount="17"/>
  <definedNames>
    <definedName name="boxPosition" hidden="1">DesignTable[Furniture position on the pallet]</definedName>
    <definedName name="dataInput" hidden="1">DesignTable[Data Input]</definedName>
    <definedName name="Family" hidden="1">DesignTable!$A$2</definedName>
    <definedName name="headerRow" hidden="1">DesignTable!$3:$3</definedName>
    <definedName name="maxLayersQtty" hidden="1">DesignTable[Max layers quantity]</definedName>
    <definedName name="maxPalletHeight" hidden="1">DesignTable[Max Pallet Height '[mm']]</definedName>
    <definedName name="maxPalletOverlay" hidden="1">DesignTable[Max Pallet Oversize '[mm']]</definedName>
    <definedName name="modelName" hidden="1">DesignTable[Model Name]</definedName>
    <definedName name="NominalPalletHeight" hidden="1">144</definedName>
    <definedName name="packagingDepth" hidden="1">DesignTable[Packaging depth '[mm']]</definedName>
    <definedName name="packagingHeight" hidden="1">DesignTable[Packaging height '[mm']]</definedName>
    <definedName name="packagingWidth" hidden="1">DesignTable[Packaging width '[mm']]</definedName>
    <definedName name="PalletDatabase" hidden="1">Settings!$A$2:$A$5</definedName>
    <definedName name="palletDimensions" hidden="1">DesignTable[Nominal Pallet Dimension '[mm']]</definedName>
    <definedName name="palletizingVersion" hidden="1">#REF!</definedName>
    <definedName name="PalletNameCell" hidden="1">DesignTable!$AG$2</definedName>
    <definedName name="roundAlligment" hidden="1">DesignTable[Round alligment]</definedName>
    <definedName name="swAddPackLengthQtty" hidden="1">DesignTable[Additional Box Quantity on Pallet Length]</definedName>
    <definedName name="swAddPackWidthQtty" hidden="1">DesignTable[Additional Box Quantity on Pallet Width]</definedName>
    <definedName name="swLayersQtty" hidden="1">DesignTable[Layers Quantity]</definedName>
    <definedName name="swLengthQtty" hidden="1">DesignTable[Box Quantity on Pallet Length]</definedName>
    <definedName name="swPackageHeight" hidden="1">DesignTable[Package Dimension on Pallet Height '[mm']]</definedName>
    <definedName name="swPackageLength" hidden="1">DesignTable[Package Dimension on Pallet Length '[mm']]</definedName>
    <definedName name="swPackageWidth" hidden="1">DesignTable[Package Dimension on Pallet Width '[mm']]</definedName>
    <definedName name="swWidthQtty" hidden="1">DesignTable[Box Quantity on Pallet Width]</definedName>
    <definedName name="technicalDrw" hidden="1">#REF!</definedName>
    <definedName name="UnderlayOversizeModifier" hidden="1">10</definedName>
    <definedName name="UnderlayThickness" hidden="1">DesignTable[Underlay thickness '[mm']]</definedName>
    <definedName name="UnderlayUse" hidden="1">DesignTable[Underlay Use]</definedName>
  </definedNames>
  <calcPr calcId="145621"/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S4" i="1"/>
  <c r="V4" i="1"/>
  <c r="W4" i="1"/>
  <c r="X4" i="1"/>
  <c r="Y4" i="1"/>
  <c r="Z4" i="1"/>
  <c r="AA4" i="1"/>
  <c r="A4" i="1"/>
  <c r="L4" i="1"/>
  <c r="M4" i="1"/>
  <c r="N4" i="1"/>
  <c r="U4" i="1" l="1"/>
  <c r="T4" i="1"/>
  <c r="Q4" i="1"/>
  <c r="AW4" i="1" s="1"/>
  <c r="G4" i="1" s="1"/>
  <c r="R4" i="1"/>
  <c r="AX4" i="1" s="1"/>
  <c r="H4" i="1" s="1"/>
  <c r="AY4" i="1" l="1"/>
  <c r="I4" i="1" s="1"/>
  <c r="BA4" i="1"/>
  <c r="K4" i="1" s="1"/>
  <c r="P4" i="1" l="1"/>
  <c r="O4" i="1"/>
  <c r="AZ4" i="1" l="1"/>
  <c r="J4" i="1" s="1"/>
</calcChain>
</file>

<file path=xl/sharedStrings.xml><?xml version="1.0" encoding="utf-8"?>
<sst xmlns="http://schemas.openxmlformats.org/spreadsheetml/2006/main" count="115" uniqueCount="94">
  <si>
    <t>$PRP@Gross weight</t>
  </si>
  <si>
    <t>$PRP@Pallet weight</t>
  </si>
  <si>
    <t>$PRP@Pallet Qtty</t>
  </si>
  <si>
    <t>$PRP@Packaging width</t>
  </si>
  <si>
    <t>$PRP@Packaging depth</t>
  </si>
  <si>
    <t>$PRP@Packaging height</t>
  </si>
  <si>
    <t>Packaging width [mm]</t>
  </si>
  <si>
    <t>Packaging height [mm]</t>
  </si>
  <si>
    <t>Gross weight [kg]</t>
  </si>
  <si>
    <t>$PRP@Pallet Dimension</t>
  </si>
  <si>
    <t>$PRP@Pallet length</t>
  </si>
  <si>
    <t>$PRP@Pallet width</t>
  </si>
  <si>
    <t>$PRP@Pallet height</t>
  </si>
  <si>
    <t>Packaging depth [mm]</t>
  </si>
  <si>
    <t>1200x800</t>
  </si>
  <si>
    <t>Model Name</t>
  </si>
  <si>
    <t>$PRP@Model Name</t>
  </si>
  <si>
    <t>Data Input</t>
  </si>
  <si>
    <t>Furniture position on the pallet</t>
  </si>
  <si>
    <t>Nominal Pallet Dimension [mm]</t>
  </si>
  <si>
    <t>AddLengthQtty@AddPiecesLength</t>
  </si>
  <si>
    <t>AddWidthQtty@AddPiecesWidth</t>
  </si>
  <si>
    <t>PackageLength@Layout</t>
  </si>
  <si>
    <t>PackageWidth@Layout</t>
  </si>
  <si>
    <t>PackageHeight@LayoutVertical</t>
  </si>
  <si>
    <t>Width@Underlay</t>
  </si>
  <si>
    <t>Length@Underlay</t>
  </si>
  <si>
    <t>LoadWidth@Layout</t>
  </si>
  <si>
    <t>LoadLength@Layout</t>
  </si>
  <si>
    <t>WidthAddPackageOffset@Layout</t>
  </si>
  <si>
    <t>LengthAddPackageOffset@Layout</t>
  </si>
  <si>
    <t>LengthQtty@MainPieces</t>
  </si>
  <si>
    <t>WidthQtty@MainPieces</t>
  </si>
  <si>
    <t>LayersQtty@MainLayers</t>
  </si>
  <si>
    <t>Package Dimension on Pallet Height [mm]</t>
  </si>
  <si>
    <t>Package Dimension on Pallet Width [mm]</t>
  </si>
  <si>
    <t>Underlay Length</t>
  </si>
  <si>
    <t>Underlay Width</t>
  </si>
  <si>
    <t>Additional Package on Pallet Length Offset</t>
  </si>
  <si>
    <t>Additional Package on Pallet Width Offset</t>
  </si>
  <si>
    <t>Additional Package on Pallet Length State</t>
  </si>
  <si>
    <t>Additional Package on Pallet Length Pattern State</t>
  </si>
  <si>
    <t>Additional Package on Pallet Width State</t>
  </si>
  <si>
    <t>Additional Package on Pallet Width Pattern State</t>
  </si>
  <si>
    <t>swPackageLength</t>
  </si>
  <si>
    <t>swLenghtQtty</t>
  </si>
  <si>
    <t>swWidthQtty</t>
  </si>
  <si>
    <t>swAddLengthQtty</t>
  </si>
  <si>
    <t>swAddWidthQtty</t>
  </si>
  <si>
    <t>swLayersQtty</t>
  </si>
  <si>
    <t>swPackageWidth</t>
  </si>
  <si>
    <t>swPackageHeight</t>
  </si>
  <si>
    <t>swPalletLength</t>
  </si>
  <si>
    <t>swPalletWidth</t>
  </si>
  <si>
    <t>swPalletHeight</t>
  </si>
  <si>
    <t>swPalletWeight</t>
  </si>
  <si>
    <t>swPalletQtty</t>
  </si>
  <si>
    <t>swLoadLength</t>
  </si>
  <si>
    <t>swLoadWidth</t>
  </si>
  <si>
    <t>swPalletDimension (2nd)</t>
  </si>
  <si>
    <t>Box Quantity on Pallet Length</t>
  </si>
  <si>
    <t>Box Quantity on Pallet Width</t>
  </si>
  <si>
    <t>Additional Box Quantity on Pallet Length</t>
  </si>
  <si>
    <t>Additional Box Quantity on Pallet Width</t>
  </si>
  <si>
    <t>Layers Quantity</t>
  </si>
  <si>
    <t>Pallet Length [mm]</t>
  </si>
  <si>
    <t>Pallet Width [mm]</t>
  </si>
  <si>
    <t>Pallet Height [mm]</t>
  </si>
  <si>
    <t>Pallet Weight [kg]</t>
  </si>
  <si>
    <t>Pallet Quantity</t>
  </si>
  <si>
    <t>Package Dimension on Pallet Length [mm]</t>
  </si>
  <si>
    <t>Tabela konfiguracji dla: xxx-PI Palletizing</t>
  </si>
  <si>
    <t>Round alligment</t>
  </si>
  <si>
    <t>Round Alligment Pattern State</t>
  </si>
  <si>
    <t>True</t>
  </si>
  <si>
    <t>Max Pallet Oversize [mm]</t>
  </si>
  <si>
    <t>Underlay Use</t>
  </si>
  <si>
    <t>Underlay thickness</t>
  </si>
  <si>
    <t>Underlay thickness [mm]</t>
  </si>
  <si>
    <t>UnderlayThickness@LayoutVertical</t>
  </si>
  <si>
    <t>Max Pallet Height [mm]</t>
  </si>
  <si>
    <t>Max layers quantity</t>
  </si>
  <si>
    <t>FirstModel</t>
  </si>
  <si>
    <t>$STATE@AddPiecesLength</t>
  </si>
  <si>
    <t>$STATE@AddPiecesWidth</t>
  </si>
  <si>
    <t>$STATE@RoundAlligment</t>
  </si>
  <si>
    <t>$USER_NOTES</t>
  </si>
  <si>
    <t>$STATE@MM16-ACC-PI Box&lt;1705&gt;</t>
  </si>
  <si>
    <t>$STATE@MM16-ACC-PI Box&lt;1712&gt;</t>
  </si>
  <si>
    <t>$CONFIGURATION@MM16-ACC-PI Pallet&lt;1&gt;</t>
  </si>
  <si>
    <t>Automatic</t>
  </si>
  <si>
    <t>False</t>
  </si>
  <si>
    <t>1200x1000</t>
  </si>
  <si>
    <t>Front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</si>
</sst>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7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color rgb="FFFFFF99"/>
      <name val="Arial"/>
      <family val="2"/>
      <charset val="238"/>
    </font>
    <font>
      <sz val="11"/>
      <color theme="0"/>
      <name val="Calibri"/>
      <family val="2"/>
      <charset val="238"/>
      <scheme val="minor"/>
    </font>
    <font>
      <sz val="10"/>
      <color rgb="FF000000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32">
    <xf numFmtId="0" fontId="0" fillId="0" borderId="0" xfId="0"/>
    <xf numFmtId="0" fontId="2" fillId="0" borderId="0" xfId="0" applyNumberFormat="1" applyFont="1"/>
    <xf numFmtId="49" fontId="2" fillId="0" borderId="0" xfId="0" applyNumberFormat="1" applyFont="1"/>
    <xf numFmtId="49" fontId="1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4" borderId="0" xfId="0" applyNumberFormat="1" applyFont="1" applyFill="1" applyAlignment="1" applyProtection="1">
      <alignment horizontal="center"/>
      <protection hidden="1"/>
    </xf>
    <xf numFmtId="0" fontId="3" fillId="4" borderId="0" xfId="0" applyNumberFormat="1" applyFont="1" applyFill="1" applyAlignment="1" applyProtection="1">
      <alignment horizontal="center"/>
      <protection hidden="1"/>
    </xf>
    <xf numFmtId="49" fontId="4" fillId="3" borderId="2" xfId="0" applyNumberFormat="1" applyFont="1" applyFill="1" applyBorder="1" applyAlignment="1" applyProtection="1">
      <alignment horizontal="center" vertical="top" wrapText="1"/>
      <protection hidden="1"/>
    </xf>
    <xf numFmtId="0" fontId="2" fillId="0" borderId="0" xfId="0" applyNumberFormat="1" applyFont="1" applyProtection="1">
      <protection hidden="1"/>
    </xf>
    <xf numFmtId="49" fontId="1" fillId="0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0" xfId="0" applyNumberFormat="1" applyFont="1" applyFill="1" applyBorder="1" applyAlignment="1" applyProtection="1">
      <alignment horizontal="center" vertical="center" textRotation="90"/>
      <protection hidden="1"/>
    </xf>
    <xf numFmtId="0" fontId="5" fillId="0" borderId="0" xfId="0" applyFont="1" applyFill="1" applyAlignment="1" applyProtection="1">
      <alignment textRotation="90"/>
      <protection hidden="1"/>
    </xf>
    <xf numFmtId="0" fontId="3" fillId="0" borderId="0" xfId="0" applyNumberFormat="1" applyFont="1" applyFill="1" applyBorder="1" applyAlignment="1" applyProtection="1">
      <alignment horizontal="center" vertical="center" textRotation="90" wrapText="1"/>
      <protection hidden="1"/>
    </xf>
    <xf numFmtId="0" fontId="5" fillId="0" borderId="0" xfId="0" applyFont="1" applyFill="1" applyBorder="1" applyAlignment="1" applyProtection="1">
      <alignment textRotation="90"/>
      <protection hidden="1"/>
    </xf>
    <xf numFmtId="0" fontId="3" fillId="0" borderId="0" xfId="0" applyNumberFormat="1" applyFont="1" applyFill="1" applyBorder="1" applyAlignment="1" applyProtection="1">
      <alignment horizontal="center" vertical="center" textRotation="90"/>
      <protection hidden="1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hidden="1"/>
    </xf>
    <xf numFmtId="49" fontId="1" fillId="0" borderId="1" xfId="0" applyNumberFormat="1" applyFont="1" applyBorder="1" applyAlignment="1" applyProtection="1">
      <alignment horizontal="center"/>
      <protection hidden="1"/>
    </xf>
    <xf numFmtId="49" fontId="1" fillId="0" borderId="1" xfId="0" applyNumberFormat="1" applyFont="1" applyBorder="1" applyAlignment="1" applyProtection="1">
      <alignment horizontal="center"/>
      <protection locked="0"/>
    </xf>
    <xf numFmtId="49" fontId="6" fillId="0" borderId="1" xfId="0" applyNumberFormat="1" applyFont="1" applyBorder="1" applyAlignment="1" applyProtection="1">
      <alignment horizontal="center"/>
      <protection locked="0"/>
    </xf>
    <xf numFmtId="1" fontId="6" fillId="0" borderId="1" xfId="0" applyNumberFormat="1" applyFont="1" applyBorder="1" applyAlignment="1" applyProtection="1">
      <alignment horizontal="center"/>
      <protection locked="0"/>
    </xf>
    <xf numFmtId="0" fontId="4" fillId="3" borderId="2" xfId="0" applyNumberFormat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textRotation="90"/>
      <protection hidden="1"/>
    </xf>
    <xf numFmtId="0" fontId="5" fillId="0" borderId="0" xfId="0" applyFont="1" applyFill="1" applyProtection="1">
      <protection hidden="1"/>
    </xf>
    <xf numFmtId="49" fontId="1" fillId="2" borderId="2" xfId="0" applyNumberFormat="1" applyFont="1" applyFill="1" applyBorder="1" applyAlignment="1" applyProtection="1">
      <alignment horizontal="center" vertical="top" wrapText="1"/>
      <protection hidden="1"/>
    </xf>
    <xf numFmtId="0" fontId="1" fillId="2" borderId="2" xfId="0" applyNumberFormat="1" applyFont="1" applyFill="1" applyBorder="1" applyAlignment="1" applyProtection="1">
      <alignment horizontal="center" vertical="top" wrapText="1"/>
      <protection hidden="1"/>
    </xf>
    <xf numFmtId="0" fontId="1" fillId="3" borderId="2" xfId="0" applyNumberFormat="1" applyFont="1" applyFill="1" applyBorder="1" applyAlignment="1" applyProtection="1">
      <alignment horizontal="center" vertical="top" wrapText="1"/>
      <protection hidden="1"/>
    </xf>
    <xf numFmtId="0" fontId="1" fillId="0" borderId="0" xfId="0" applyNumberFormat="1" applyFont="1" applyAlignment="1" applyProtection="1">
      <alignment horizontal="center" vertical="top" wrapText="1"/>
      <protection hidden="1"/>
    </xf>
    <xf numFmtId="0" fontId="1" fillId="0" borderId="1" xfId="0" applyNumberFormat="1" applyFont="1" applyBorder="1" applyProtection="1">
      <protection hidden="1"/>
    </xf>
    <xf numFmtId="1" fontId="6" fillId="0" borderId="1" xfId="0" applyNumberFormat="1" applyFont="1" applyBorder="1" applyAlignment="1" applyProtection="1">
      <alignment horizontal="center"/>
      <protection hidden="1"/>
    </xf>
    <xf numFmtId="49" fontId="6" fillId="0" borderId="1" xfId="0" applyNumberFormat="1" applyFont="1" applyBorder="1" applyAlignment="1" applyProtection="1">
      <alignment horizontal="center"/>
      <protection hidden="1"/>
    </xf>
    <xf numFmtId="1" fontId="6" fillId="0" borderId="4" xfId="0" applyNumberFormat="1" applyFont="1" applyFill="1" applyBorder="1" applyAlignment="1" applyProtection="1">
      <alignment horizontal="center"/>
      <protection locked="0"/>
    </xf>
  </cellXfs>
  <cellStyles count="3">
    <cellStyle name="Dziesiętny 2" xfId="1"/>
    <cellStyle name="Normal" xfId="0" builtinId="0"/>
    <cellStyle name="Normalny 2" xfId="2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1"/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DesignTable" displayName="DesignTable" ref="A3:BB4" totalsRowShown="0" headerRowDxfId="56" dataDxfId="54" headerRowBorderDxfId="55">
  <autoFilter ref="A3:BB4"/>
  <tableColumns count="54">
    <tableColumn id="1" name="$USER_NOTES" dataDxfId="53">
      <calculatedColumnFormula>IF(AB4="","",AB4)</calculatedColumnFormula>
    </tableColumn>
    <tableColumn id="12" name="swLenghtQtty" dataDxfId="52">
      <calculatedColumnFormula>IF(DesignTable[[#This Row],[Box Quantity on Pallet Length]]&lt;1,1,DesignTable[[#This Row],[Box Quantity on Pallet Length]])</calculatedColumnFormula>
    </tableColumn>
    <tableColumn id="13" name="swWidthQtty" dataDxfId="51">
      <calculatedColumnFormula>IF(DesignTable[[#This Row],[Box Quantity on Pallet Width]]&lt;1,1,DesignTable[[#This Row],[Box Quantity on Pallet Width]])</calculatedColumnFormula>
    </tableColumn>
    <tableColumn id="40" name="swAddLengthQtty" dataDxfId="50">
      <calculatedColumnFormula>IF(DesignTable[[#This Row],[Additional Box Quantity on Pallet Length]]&lt;1,1,DesignTable[[#This Row],[Additional Box Quantity on Pallet Length]])</calculatedColumnFormula>
    </tableColumn>
    <tableColumn id="39" name="swAddWidthQtty" dataDxfId="49">
      <calculatedColumnFormula>IF(DesignTable[[#This Row],[Additional Box Quantity on Pallet Width]]&lt;1,1,DesignTable[[#This Row],[Additional Box Quantity on Pallet Width]])</calculatedColumnFormula>
    </tableColumn>
    <tableColumn id="14" name="swLayersQtty" dataDxfId="48">
      <calculatedColumnFormula>IF(DesignTable[[#This Row],[Layers Quantity]]&lt;1,1,DesignTable[[#This Row],[Layers Quantity]])</calculatedColumnFormula>
    </tableColumn>
    <tableColumn id="16" name="swPalletLength" dataDxfId="47">
      <calculatedColumnFormula>IF(DesignTable[[#This Row],[Pallet Length '[mm']]]="","",DesignTable[[#This Row],[Pallet Length '[mm']]])</calculatedColumnFormula>
    </tableColumn>
    <tableColumn id="17" name="swPalletWidth" dataDxfId="46">
      <calculatedColumnFormula>IF(DesignTable[[#This Row],[Pallet Width '[mm']]]="","",DesignTable[[#This Row],[Pallet Width '[mm']]])</calculatedColumnFormula>
    </tableColumn>
    <tableColumn id="18" name="swPalletHeight" dataDxfId="45">
      <calculatedColumnFormula>IF(DesignTable[[#This Row],[Pallet Height '[mm']]]="","",DesignTable[[#This Row],[Pallet Height '[mm']]])</calculatedColumnFormula>
    </tableColumn>
    <tableColumn id="19" name="swPalletWeight" dataDxfId="44">
      <calculatedColumnFormula>IF(DesignTable[[#This Row],[Pallet Weight '[kg']]]="","",DesignTable[[#This Row],[Pallet Weight '[kg']]])</calculatedColumnFormula>
    </tableColumn>
    <tableColumn id="20" name="swPalletQtty" dataDxfId="43">
      <calculatedColumnFormula>IF(DesignTable[[#This Row],[Pallet Quantity]]="","",DesignTable[[#This Row],[Pallet Quantity]])</calculatedColumnFormula>
    </tableColumn>
    <tableColumn id="21" name="swPackageLength" dataDxfId="42">
      <calculatedColumnFormula>IF(DesignTable[[#This Row],[Package Dimension on Pallet Length '[mm']]]&lt;1,1,DesignTable[[#This Row],[Package Dimension on Pallet Length '[mm']]])</calculatedColumnFormula>
    </tableColumn>
    <tableColumn id="22" name="swPackageWidth" dataDxfId="41">
      <calculatedColumnFormula>IF(DesignTable[[#This Row],[Package Dimension on Pallet Width '[mm']]]&lt;1,1,DesignTable[[#This Row],[Package Dimension on Pallet Width '[mm']]])</calculatedColumnFormula>
    </tableColumn>
    <tableColumn id="23" name="swPackageHeight" dataDxfId="40">
      <calculatedColumnFormula>IF(DesignTable[[#This Row],[Package Dimension on Pallet Height '[mm']]]&lt;1,1,DesignTable[[#This Row],[Package Dimension on Pallet Height '[mm']]])</calculatedColumnFormula>
    </tableColumn>
    <tableColumn id="24" name="Underlay Length" dataDxfId="39">
      <calculatedColumnFormula>IF(DesignTable[[#This Row],[swPalletLength]]="","",VALUE(DesignTable[[#This Row],[swPalletLength]]))</calculatedColumnFormula>
    </tableColumn>
    <tableColumn id="25" name="Underlay Width" dataDxfId="38">
      <calculatedColumnFormula>IF(DesignTable[[#This Row],[swPalletWidth]]="","",VALUE(DesignTable[[#This Row],[swPalletWidth]]))</calculatedColumnFormula>
    </tableColumn>
    <tableColumn id="27" name="swLoadLength" dataDxfId="37">
      <calculatedColumnFormula>IF(DesignTable[[#This Row],[Round Alligment Pattern State]]=1,IF(OR(DesignTable[[#This Row],[swLenghtQtty]]="",DesignTable[[#This Row],[swPackageLength]]=""),"",IF(IF(DesignTable[[#This Row],[Additional Box Quantity on Pallet Length]]&gt;=1,(DesignTable[[#This Row],[swLenghtQtty]]*DesignTable[[#This Row],[swPackageLength]]+DesignTable[[#This Row],[swPackageWidth]]),DesignTable[[#This Row],[swLenghtQtty]]*DesignTable[[#This Row],[swPackageLength]])&gt;=IF(DesignTable[[#This Row],[Additional Box Quantity on Pallet Width]]&gt;=1,DesignTable[[#This Row],[Additional Box Quantity on Pallet Width]]*DesignTable[[#This Row],[swPackageWidth]],0),IF(DesignTable[[#This Row],[Additional Box Quantity on Pallet Length]]&gt;=1,(DesignTable[[#This Row],[swLenghtQtty]]*DesignTable[[#This Row],[swPackageLength]]+DesignTable[[#This Row],[swPackageWidth]]),DesignTable[[#This Row],[swLenghtQtty]]*DesignTable[[#This Row],[swPackageLength]]),IF(DesignTable[[#This Row],[Additional Box Quantity on Pallet Width]]&gt;=1,DesignTable[[#This Row],[Additional Box Quantity on Pallet Width]]*DesignTable[[#This Row],[swPackageWidth]],0))),DesignTable[[#This Row],[swPackageLength]]*DesignTable[[#This Row],[swLenghtQtty]]+DesignTable[[#This Row],[swPackageWidth]])</calculatedColumnFormula>
    </tableColumn>
    <tableColumn id="28" name="swLoadWidth" dataDxfId="36">
      <calculatedColumnFormula>IF(DesignTable[[#This Row],[Round Alligment Pattern State]]=1,IF(OR(DesignTable[[#This Row],[swWidthQtty]]="",DesignTable[[#This Row],[swPackageWidth]]=""),"",IF(IF(DesignTable[[#This Row],[Additional Box Quantity on Pallet Width]]&gt;=1,(DesignTable[[#This Row],[swWidthQtty]]*DesignTable[[#This Row],[swPackageWidth]]+DesignTable[[#This Row],[swPackageLength]]),DesignTable[[#This Row],[swWidthQtty]]*DesignTable[[#This Row],[swPackageWidth]])&gt;=IF(DesignTable[[#This Row],[Additional Box Quantity on Pallet Length]]&gt;=1,DesignTable[[#This Row],[Additional Box Quantity on Pallet Length]]*DesignTable[[#This Row],[swPackageLength]],0),IF(DesignTable[[#This Row],[Additional Box Quantity on Pallet Width]]&gt;=1,(DesignTable[[#This Row],[swWidthQtty]]*DesignTable[[#This Row],[swPackageWidth]]+DesignTable[[#This Row],[swPackageLength]]),DesignTable[[#This Row],[swWidthQtty]]*DesignTable[[#This Row],[swPackageWidth]]),IF(DesignTable[[#This Row],[Additional Box Quantity on Pallet Length]]&gt;=1,DesignTable[[#This Row],[Additional Box Quantity on Pallet Length]]*DesignTable[[#This Row],[swPackageLength]],0))),DesignTable[[#This Row],[swPackageLength]]+DesignTable[[#This Row],[swPackageWidth]])</calculatedColumnFormula>
    </tableColumn>
    <tableColumn id="32" name="swPalletDimension (2nd)" dataDxfId="35">
      <calculatedColumnFormula>IF(DesignTable[[#This Row],[Nominal Pallet Dimension '[mm']]]="","",DesignTable[[#This Row],[Nominal Pallet Dimension '[mm']]])</calculatedColumnFormula>
    </tableColumn>
    <tableColumn id="48" name="Additional Package on Pallet Length Offset" dataDxfId="34">
      <calculatedColumnFormula>IF(DesignTable[[#This Row],[Round Alligment Pattern State]]=1,IF(DesignTable[[#This Row],[swAddLengthQtty]]&lt;=1,(DesignTable[[#This Row],[swPackageLength]]/2),(DesignTable[[#This Row],[swPackageLength]]/2)*DesignTable[[#This Row],[swAddLengthQtty]]),(DesignTable[[#This Row],[swPackageLength]]+DesignTable[[#This Row],[swPackageWidth]])/2)</calculatedColumnFormula>
    </tableColumn>
    <tableColumn id="47" name="Additional Package on Pallet Width Offset" dataDxfId="33">
      <calculatedColumnFormula>IF(DesignTable[[#This Row],[swAddWidthQtty]]&lt;=1,(DesignTable[[#This Row],[swPackageWidth]]/2),(DesignTable[[#This Row],[swPackageWidth]]/2)*DesignTable[[#This Row],[swAddWidthQtty]])</calculatedColumnFormula>
    </tableColumn>
    <tableColumn id="41" name="Additional Package on Pallet Length State" dataDxfId="32">
      <calculatedColumnFormula>IF(OR(DesignTable[[#This Row],[Additional Box Quantity on Pallet Length]]&lt;1,DesignTable[[#This Row],[Additional Box Quantity on Pallet Length]]=""),1,0)</calculatedColumnFormula>
    </tableColumn>
    <tableColumn id="46" name="Additional Package on Pallet Length Pattern State" dataDxfId="31">
      <calculatedColumnFormula>IF(OR(DesignTable[[#This Row],[Additional Box Quantity on Pallet Length]]&lt;1,DesignTable[[#This Row],[Additional Box Quantity on Pallet Length]]=""),1,0)</calculatedColumnFormula>
    </tableColumn>
    <tableColumn id="45" name="Additional Package on Pallet Width State" dataDxfId="30">
      <calculatedColumnFormula>IF(OR(DesignTable[[#This Row],[Additional Box Quantity on Pallet Width]]&lt;1,DesignTable[[#This Row],[Additional Box Quantity on Pallet Width]]=""),1,0)</calculatedColumnFormula>
    </tableColumn>
    <tableColumn id="44" name="Additional Package on Pallet Width Pattern State" dataDxfId="29">
      <calculatedColumnFormula>IF(OR(DesignTable[[#This Row],[Additional Box Quantity on Pallet Width]]&lt;1,DesignTable[[#This Row],[Additional Box Quantity on Pallet Width]]=""),1,0)</calculatedColumnFormula>
    </tableColumn>
    <tableColumn id="57" name="Round Alligment Pattern State" dataDxfId="28">
      <calculatedColumnFormula>IF(DesignTable[[#This Row],[Round alligment]]="True",0,1)</calculatedColumnFormula>
    </tableColumn>
    <tableColumn id="63" name="Underlay thickness" dataDxfId="27">
      <calculatedColumnFormula>IF(DesignTable[Underlay thickness '[mm']]&lt;=1,1,DesignTable[Underlay thickness '[mm']])</calculatedColumnFormula>
    </tableColumn>
    <tableColumn id="2" name="Model Name" dataDxfId="26"/>
    <tableColumn id="7" name="Packaging width [mm]" dataDxfId="25"/>
    <tableColumn id="8" name="Packaging depth [mm]" dataDxfId="24"/>
    <tableColumn id="9" name="Packaging height [mm]" dataDxfId="23"/>
    <tableColumn id="10" name="Gross weight [kg]" dataDxfId="22"/>
    <tableColumn id="15" name="Nominal Pallet Dimension [mm]" dataDxfId="21"/>
    <tableColumn id="34" name="Max Pallet Height [mm]" dataDxfId="20"/>
    <tableColumn id="50" name="Max layers quantity" dataDxfId="19"/>
    <tableColumn id="36" name="Max Pallet Oversize [mm]" dataDxfId="18"/>
    <tableColumn id="35" name="Furniture position on the pallet" dataDxfId="17"/>
    <tableColumn id="59" name="Underlay Use" dataDxfId="16"/>
    <tableColumn id="60" name="Underlay thickness [mm]" dataDxfId="15"/>
    <tableColumn id="56" name="Round alligment" dataDxfId="14"/>
    <tableColumn id="26" name="Package Dimension on Pallet Length [mm]" dataDxfId="13"/>
    <tableColumn id="29" name="Package Dimension on Pallet Width [mm]" dataDxfId="12"/>
    <tableColumn id="30" name="Package Dimension on Pallet Height [mm]" dataDxfId="11"/>
    <tableColumn id="31" name="Box Quantity on Pallet Length" dataDxfId="10"/>
    <tableColumn id="37" name="Box Quantity on Pallet Width" dataDxfId="9"/>
    <tableColumn id="42" name="Additional Box Quantity on Pallet Length" dataDxfId="8"/>
    <tableColumn id="43" name="Additional Box Quantity on Pallet Width" dataDxfId="7"/>
    <tableColumn id="49" name="Layers Quantity" dataDxfId="6"/>
    <tableColumn id="51" name="Pallet Length [mm]" dataDxfId="5">
      <calculatedColumnFormula>IF(OR(DesignTable[Box Quantity on Pallet Length]="",DesignTable[Package Dimension on Pallet Length '[mm']]="",DesignTable[Nominal Pallet Dimension '[mm']]=""),"",IF(VALUE(DesignTable[swLoadLength])&gt;=VALUE(LEFT(DesignTable[Nominal Pallet Dimension '[mm']], FIND("x",DesignTable[Nominal Pallet Dimension '[mm']],1)-1)),IF(DesignTable[Underlay Use]="True",DesignTable[swLoadLength]+UnderlayOversizeModifier,DesignTable[swLoadLength]),LEFT(DesignTable[Nominal Pallet Dimension '[mm']], FIND("x",DesignTable[Nominal Pallet Dimension '[mm']],1)-1)))</calculatedColumnFormula>
    </tableColumn>
    <tableColumn id="52" name="Pallet Width [mm]" dataDxfId="4">
      <calculatedColumnFormula>IF(OR(AS4="",AP4="",$S4=""),"",IF(VALUE(DesignTable[swLoadWidth])&gt;=VALUE(RIGHT(DesignTable[swPalletDimension (2nd)], LEN(DesignTable[swPalletDimension (2nd)]) - FIND("x",DesignTable[swPalletDimension (2nd)],1))),IF(DesignTable[Underlay Use]="True",DesignTable[swLoadWidth]+UnderlayOversizeModifier,DesignTable[swLoadWidth]),RIGHT(DesignTable[swPalletDimension (2nd)], LEN(DesignTable[swPalletDimension (2nd)]) - FIND("x",DesignTable[swPalletDimension (2nd)],1))))</calculatedColumnFormula>
    </tableColumn>
    <tableColumn id="53" name="Pallet Height [mm]" dataDxfId="3">
      <calculatedColumnFormula>IF(OR(DesignTable[[#This Row],[Layers Quantity]]="",DesignTable[[#This Row],[Package Dimension on Pallet Height '[mm']]]=""),"",DesignTable[[#This Row],[Layers Quantity]]*DesignTable[[#This Row],[Package Dimension on Pallet Height '[mm']]]+NominalPalletHeight +IF(DesignTable[Underlay Use]="True",DesignTable[Underlay thickness '[mm']],0))</calculatedColumnFormula>
    </tableColumn>
    <tableColumn id="54" name="Pallet Weight [kg]" dataDxfId="2">
      <calculatedColumnFormula>IF(OR(DesignTable[[#This Row],[Pallet Length '[mm']]]="",DesignTable[[#This Row],[Pallet Width '[mm']]]=""),"",(DesignTable[[#This Row],[Pallet Length '[mm']]]*DesignTable[[#This Row],[Pallet Width '[mm']]]*12)/1000^3*720+DesignTable[[#This Row],[Pallet Quantity]]*DesignTable[[#This Row],[Gross weight '[kg']]]+15)</calculatedColumnFormula>
    </tableColumn>
    <tableColumn id="55" name="Pallet Quantity" dataDxfId="1">
      <calculatedColumnFormula>IF(DesignTable[[#This Row],[Round Alligment Pattern State]]=1,IF(OR(DesignTable[[#This Row],[Box Quantity on Pallet Width]]="",DesignTable[[#This Row],[Box Quantity on Pallet Length]]="",DesignTable[[#This Row],[Layers Quantity]]=""),"",((DesignTable[[#This Row],[Box Quantity on Pallet Width]]*DesignTable[[#This Row],[Box Quantity on Pallet Length]])+DesignTable[[#This Row],[Additional Box Quantity on Pallet Length]]+DesignTable[[#This Row],[Additional Box Quantity on Pallet Width]])*DesignTable[[#This Row],[Layers Quantity]]),(DesignTable[[#This Row],[Box Quantity on Pallet Length]]+DesignTable[[#This Row],[Additional Box Quantity on Pallet Length]])*2*DesignTable[[#This Row],[Layers Quantity]])</calculatedColumnFormula>
    </tableColumn>
    <tableColumn id="33" name="Data Inpu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4"/>
  <sheetViews>
    <sheetView showGridLines="0"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D11" sqref="AD11"/>
    </sheetView>
  </sheetViews>
  <sheetFormatPr defaultRowHeight="15" x14ac:dyDescent="0.25"/>
  <cols>
    <col min="1" max="1" width="12.7109375" style="2" hidden="1" customWidth="1"/>
    <col min="2" max="2" width="3.42578125" hidden="1" customWidth="1"/>
    <col min="3" max="3" width="2.7109375" hidden="1" customWidth="1"/>
    <col min="4" max="4" width="2.42578125" hidden="1" customWidth="1"/>
    <col min="5" max="5" width="2.28515625" hidden="1" customWidth="1"/>
    <col min="6" max="6" width="2.140625" hidden="1" customWidth="1"/>
    <col min="7" max="7" width="5.140625" hidden="1" customWidth="1"/>
    <col min="8" max="8" width="5.42578125" hidden="1" customWidth="1"/>
    <col min="9" max="10" width="5.85546875" hidden="1" customWidth="1"/>
    <col min="11" max="11" width="4.140625" hidden="1" customWidth="1"/>
    <col min="12" max="12" width="5.28515625" hidden="1" customWidth="1"/>
    <col min="13" max="13" width="5.5703125" hidden="1" customWidth="1"/>
    <col min="14" max="14" width="5.85546875" hidden="1" customWidth="1"/>
    <col min="15" max="15" width="4.7109375" hidden="1" customWidth="1"/>
    <col min="16" max="16" width="5.42578125" hidden="1" customWidth="1"/>
    <col min="17" max="17" width="6" hidden="1" customWidth="1"/>
    <col min="18" max="18" width="5.5703125" style="1" hidden="1" customWidth="1"/>
    <col min="19" max="19" width="9" style="1" hidden="1" customWidth="1"/>
    <col min="20" max="20" width="5.140625" style="1" hidden="1" customWidth="1"/>
    <col min="21" max="21" width="5" style="1" hidden="1" customWidth="1"/>
    <col min="22" max="23" width="4.28515625" style="1" hidden="1" customWidth="1"/>
    <col min="24" max="24" width="3.85546875" hidden="1" customWidth="1"/>
    <col min="25" max="26" width="4.5703125" style="1" hidden="1" customWidth="1"/>
    <col min="27" max="27" width="4.42578125" style="1" hidden="1" customWidth="1"/>
    <col min="28" max="28" width="15.28515625" style="1" customWidth="1"/>
    <col min="29" max="29" width="10.28515625" style="1" customWidth="1"/>
    <col min="30" max="31" width="10.42578125" style="1" customWidth="1"/>
    <col min="32" max="32" width="7.28515625" style="1" customWidth="1"/>
    <col min="33" max="33" width="12.85546875" style="1" customWidth="1"/>
    <col min="34" max="34" width="10.28515625" style="1" customWidth="1"/>
    <col min="35" max="35" width="8.7109375" style="1" customWidth="1"/>
    <col min="36" max="36" width="10" style="1" customWidth="1"/>
    <col min="37" max="37" width="12" style="1" customWidth="1"/>
    <col min="38" max="38" width="9.140625" style="1" customWidth="1"/>
    <col min="39" max="39" width="9.7109375" style="1" customWidth="1"/>
    <col min="40" max="40" width="10.5703125" style="1" customWidth="1"/>
    <col min="41" max="41" width="10.42578125" style="1" customWidth="1"/>
    <col min="42" max="43" width="10.7109375" style="1" customWidth="1"/>
    <col min="44" max="44" width="9.7109375" style="1" customWidth="1"/>
    <col min="45" max="45" width="9.5703125" style="1" customWidth="1"/>
    <col min="46" max="46" width="10.28515625" style="1" customWidth="1"/>
    <col min="47" max="47" width="8.85546875" style="1" customWidth="1"/>
    <col min="48" max="48" width="9.28515625" style="1" customWidth="1"/>
    <col min="49" max="49" width="7.28515625" style="1" customWidth="1"/>
    <col min="50" max="50" width="7.42578125" style="1" customWidth="1"/>
    <col min="51" max="51" width="7" style="1" customWidth="1"/>
    <col min="52" max="52" width="7.28515625" style="1" customWidth="1"/>
    <col min="53" max="53" width="9.28515625" style="1" customWidth="1"/>
    <col min="54" max="54" width="13" style="1" customWidth="1"/>
    <col min="55" max="55" width="19" style="2" customWidth="1"/>
    <col min="57" max="57" width="21.5703125" style="1" bestFit="1" customWidth="1"/>
    <col min="58" max="58" width="21.7109375" style="1" bestFit="1" customWidth="1"/>
    <col min="59" max="59" width="22.140625" style="1" bestFit="1" customWidth="1"/>
    <col min="60" max="60" width="17.42578125" style="1" bestFit="1" customWidth="1"/>
    <col min="61" max="61" width="22" style="1" bestFit="1" customWidth="1"/>
    <col min="62" max="62" width="22.140625" style="1" bestFit="1" customWidth="1"/>
    <col min="63" max="63" width="22.5703125" style="1" bestFit="1" customWidth="1"/>
    <col min="64" max="64" width="19" style="1" bestFit="1" customWidth="1"/>
    <col min="65" max="65" width="17.28515625" style="1" bestFit="1" customWidth="1"/>
    <col min="66" max="66" width="42.42578125" style="1" bestFit="1" customWidth="1"/>
    <col min="67" max="67" width="25.42578125" style="1" customWidth="1"/>
    <col min="68" max="68" width="24.42578125" style="1" bestFit="1" customWidth="1"/>
    <col min="69" max="69" width="24.28515625" style="1" bestFit="1" customWidth="1"/>
    <col min="70" max="70" width="23.7109375" style="2" bestFit="1" customWidth="1"/>
    <col min="71" max="71" width="24.5703125" style="1" bestFit="1" customWidth="1"/>
    <col min="72" max="72" width="14.85546875" style="1" customWidth="1"/>
    <col min="73" max="16384" width="9.140625" style="1"/>
  </cols>
  <sheetData>
    <row r="1" spans="1:70" s="7" customFormat="1" ht="12.75" hidden="1" x14ac:dyDescent="0.2">
      <c r="A1" s="4" t="s">
        <v>71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4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</row>
    <row r="2" spans="1:70" s="13" customFormat="1" ht="20.25" hidden="1" customHeight="1" thickBot="1" x14ac:dyDescent="0.3">
      <c r="A2" s="9"/>
      <c r="B2" s="10" t="s">
        <v>31</v>
      </c>
      <c r="C2" s="10" t="s">
        <v>32</v>
      </c>
      <c r="D2" s="10" t="s">
        <v>20</v>
      </c>
      <c r="E2" s="10" t="s">
        <v>21</v>
      </c>
      <c r="F2" s="10" t="s">
        <v>33</v>
      </c>
      <c r="G2" s="10" t="s">
        <v>10</v>
      </c>
      <c r="H2" s="10" t="s">
        <v>11</v>
      </c>
      <c r="I2" s="10" t="s">
        <v>12</v>
      </c>
      <c r="J2" s="10" t="s">
        <v>1</v>
      </c>
      <c r="K2" s="10" t="s">
        <v>2</v>
      </c>
      <c r="L2" s="10" t="s">
        <v>22</v>
      </c>
      <c r="M2" s="10" t="s">
        <v>23</v>
      </c>
      <c r="N2" s="10" t="s">
        <v>24</v>
      </c>
      <c r="O2" s="10" t="s">
        <v>26</v>
      </c>
      <c r="P2" s="10" t="s">
        <v>25</v>
      </c>
      <c r="Q2" s="10" t="s">
        <v>28</v>
      </c>
      <c r="R2" s="10" t="s">
        <v>27</v>
      </c>
      <c r="S2" s="10" t="s">
        <v>9</v>
      </c>
      <c r="T2" s="10" t="s">
        <v>30</v>
      </c>
      <c r="U2" s="10" t="s">
        <v>29</v>
      </c>
      <c r="V2" s="10" t="s">
        <v>87</v>
      </c>
      <c r="W2" s="10" t="s">
        <v>83</v>
      </c>
      <c r="X2" s="21" t="s">
        <v>88</v>
      </c>
      <c r="Y2" s="10" t="s">
        <v>84</v>
      </c>
      <c r="Z2" s="22" t="s">
        <v>85</v>
      </c>
      <c r="AA2" s="23" t="s">
        <v>79</v>
      </c>
      <c r="AB2" s="10" t="s">
        <v>16</v>
      </c>
      <c r="AC2" s="10" t="s">
        <v>3</v>
      </c>
      <c r="AD2" s="10" t="s">
        <v>4</v>
      </c>
      <c r="AE2" s="10" t="s">
        <v>5</v>
      </c>
      <c r="AF2" s="10" t="s">
        <v>0</v>
      </c>
      <c r="AG2" s="10" t="s">
        <v>89</v>
      </c>
      <c r="AH2" s="11" t="s">
        <v>86</v>
      </c>
      <c r="AI2" s="10" t="s">
        <v>86</v>
      </c>
      <c r="AJ2" s="12" t="s">
        <v>86</v>
      </c>
      <c r="AK2" s="11" t="s">
        <v>86</v>
      </c>
      <c r="AL2" s="11" t="s">
        <v>86</v>
      </c>
      <c r="AM2" s="11" t="s">
        <v>86</v>
      </c>
      <c r="AN2" s="11"/>
      <c r="AO2" s="11" t="s">
        <v>86</v>
      </c>
      <c r="AP2" s="11" t="s">
        <v>86</v>
      </c>
      <c r="AQ2" s="11" t="s">
        <v>86</v>
      </c>
      <c r="AR2" s="11" t="s">
        <v>86</v>
      </c>
      <c r="AS2" s="11" t="s">
        <v>86</v>
      </c>
      <c r="AT2" s="11" t="s">
        <v>86</v>
      </c>
      <c r="AU2" s="11" t="s">
        <v>86</v>
      </c>
      <c r="AV2" s="11" t="s">
        <v>86</v>
      </c>
      <c r="AW2" s="11" t="s">
        <v>86</v>
      </c>
      <c r="AX2" s="11" t="s">
        <v>86</v>
      </c>
      <c r="AY2" s="11" t="s">
        <v>86</v>
      </c>
      <c r="AZ2" s="11" t="s">
        <v>86</v>
      </c>
      <c r="BA2" s="11" t="s">
        <v>86</v>
      </c>
      <c r="BB2" s="11" t="s">
        <v>86</v>
      </c>
    </row>
    <row r="3" spans="1:70" s="27" customFormat="1" ht="68.25" customHeight="1" thickTop="1" x14ac:dyDescent="0.25">
      <c r="A3" s="6" t="s">
        <v>86</v>
      </c>
      <c r="B3" s="20" t="s">
        <v>45</v>
      </c>
      <c r="C3" s="20" t="s">
        <v>46</v>
      </c>
      <c r="D3" s="20" t="s">
        <v>47</v>
      </c>
      <c r="E3" s="20" t="s">
        <v>48</v>
      </c>
      <c r="F3" s="20" t="s">
        <v>49</v>
      </c>
      <c r="G3" s="20" t="s">
        <v>52</v>
      </c>
      <c r="H3" s="20" t="s">
        <v>53</v>
      </c>
      <c r="I3" s="20" t="s">
        <v>54</v>
      </c>
      <c r="J3" s="20" t="s">
        <v>55</v>
      </c>
      <c r="K3" s="20" t="s">
        <v>56</v>
      </c>
      <c r="L3" s="20" t="s">
        <v>44</v>
      </c>
      <c r="M3" s="20" t="s">
        <v>50</v>
      </c>
      <c r="N3" s="20" t="s">
        <v>51</v>
      </c>
      <c r="O3" s="20" t="s">
        <v>36</v>
      </c>
      <c r="P3" s="20" t="s">
        <v>37</v>
      </c>
      <c r="Q3" s="20" t="s">
        <v>57</v>
      </c>
      <c r="R3" s="20" t="s">
        <v>58</v>
      </c>
      <c r="S3" s="20" t="s">
        <v>59</v>
      </c>
      <c r="T3" s="20" t="s">
        <v>38</v>
      </c>
      <c r="U3" s="20" t="s">
        <v>39</v>
      </c>
      <c r="V3" s="20" t="s">
        <v>40</v>
      </c>
      <c r="W3" s="20" t="s">
        <v>41</v>
      </c>
      <c r="X3" s="20" t="s">
        <v>42</v>
      </c>
      <c r="Y3" s="20" t="s">
        <v>43</v>
      </c>
      <c r="Z3" s="20" t="s">
        <v>73</v>
      </c>
      <c r="AA3" s="20" t="s">
        <v>77</v>
      </c>
      <c r="AB3" s="24" t="s">
        <v>15</v>
      </c>
      <c r="AC3" s="25" t="s">
        <v>6</v>
      </c>
      <c r="AD3" s="25" t="s">
        <v>13</v>
      </c>
      <c r="AE3" s="25" t="s">
        <v>7</v>
      </c>
      <c r="AF3" s="25" t="s">
        <v>8</v>
      </c>
      <c r="AG3" s="25" t="s">
        <v>19</v>
      </c>
      <c r="AH3" s="25" t="s">
        <v>80</v>
      </c>
      <c r="AI3" s="25" t="s">
        <v>81</v>
      </c>
      <c r="AJ3" s="25" t="s">
        <v>75</v>
      </c>
      <c r="AK3" s="25" t="s">
        <v>18</v>
      </c>
      <c r="AL3" s="25" t="s">
        <v>76</v>
      </c>
      <c r="AM3" s="25" t="s">
        <v>78</v>
      </c>
      <c r="AN3" s="26" t="s">
        <v>72</v>
      </c>
      <c r="AO3" s="26" t="s">
        <v>70</v>
      </c>
      <c r="AP3" s="26" t="s">
        <v>35</v>
      </c>
      <c r="AQ3" s="26" t="s">
        <v>34</v>
      </c>
      <c r="AR3" s="26" t="s">
        <v>60</v>
      </c>
      <c r="AS3" s="26" t="s">
        <v>61</v>
      </c>
      <c r="AT3" s="26" t="s">
        <v>62</v>
      </c>
      <c r="AU3" s="26" t="s">
        <v>63</v>
      </c>
      <c r="AV3" s="26" t="s">
        <v>64</v>
      </c>
      <c r="AW3" s="26" t="s">
        <v>65</v>
      </c>
      <c r="AX3" s="26" t="s">
        <v>66</v>
      </c>
      <c r="AY3" s="26" t="s">
        <v>67</v>
      </c>
      <c r="AZ3" s="26" t="s">
        <v>68</v>
      </c>
      <c r="BA3" s="26" t="s">
        <v>69</v>
      </c>
      <c r="BB3" s="25" t="s">
        <v>17</v>
      </c>
    </row>
    <row r="4" spans="1:70" ht="12.75" x14ac:dyDescent="0.2">
      <c r="A4" s="28" t="str">
        <f>IF(AB4="","",AB4)</f>
        <v>FirstModel</v>
      </c>
      <c r="B4" s="15">
        <f>IF(DesignTable[[#This Row],[Box Quantity on Pallet Length]]&lt;1,1,DesignTable[[#This Row],[Box Quantity on Pallet Length]])</f>
        <v>2</v>
      </c>
      <c r="C4" s="15">
        <f>IF(DesignTable[[#This Row],[Box Quantity on Pallet Width]]&lt;1,1,DesignTable[[#This Row],[Box Quantity on Pallet Width]])</f>
        <v>1</v>
      </c>
      <c r="D4" s="15">
        <f>IF(DesignTable[[#This Row],[Additional Box Quantity on Pallet Length]]&lt;1,1,DesignTable[[#This Row],[Additional Box Quantity on Pallet Length]])</f>
        <v>1</v>
      </c>
      <c r="E4" s="15">
        <f>IF(DesignTable[[#This Row],[Additional Box Quantity on Pallet Width]]&lt;1,1,DesignTable[[#This Row],[Additional Box Quantity on Pallet Width]])</f>
        <v>1</v>
      </c>
      <c r="F4" s="15">
        <f>IF(DesignTable[[#This Row],[Layers Quantity]]&lt;1,1,DesignTable[[#This Row],[Layers Quantity]])</f>
        <v>2</v>
      </c>
      <c r="G4" s="15" t="str">
        <f>IF(DesignTable[[#This Row],[Pallet Length '[mm']]]="","",DesignTable[[#This Row],[Pallet Length '[mm']]])</f>
        <v>1200</v>
      </c>
      <c r="H4" s="15" t="str">
        <f>IF(DesignTable[[#This Row],[Pallet Width '[mm']]]="","",DesignTable[[#This Row],[Pallet Width '[mm']]])</f>
        <v>800</v>
      </c>
      <c r="I4" s="15">
        <f>IF(DesignTable[[#This Row],[Pallet Height '[mm']]]="","",DesignTable[[#This Row],[Pallet Height '[mm']]])</f>
        <v>1760</v>
      </c>
      <c r="J4" s="15">
        <f>IF(DesignTable[[#This Row],[Pallet Weight '[kg']]]="","",DesignTable[[#This Row],[Pallet Weight '[kg']]])</f>
        <v>95.294399999999996</v>
      </c>
      <c r="K4" s="15">
        <f>IF(DesignTable[[#This Row],[Pallet Quantity]]="","",DesignTable[[#This Row],[Pallet Quantity]])</f>
        <v>4</v>
      </c>
      <c r="L4" s="15">
        <f>IF(DesignTable[[#This Row],[Package Dimension on Pallet Length '[mm']]]&lt;1,1,DesignTable[[#This Row],[Package Dimension on Pallet Length '[mm']]])</f>
        <v>550</v>
      </c>
      <c r="M4" s="15">
        <f>IF(DesignTable[[#This Row],[Package Dimension on Pallet Width '[mm']]]&lt;1,1,DesignTable[[#This Row],[Package Dimension on Pallet Width '[mm']]])</f>
        <v>700</v>
      </c>
      <c r="N4" s="15">
        <f>IF(DesignTable[[#This Row],[Package Dimension on Pallet Height '[mm']]]&lt;1,1,DesignTable[[#This Row],[Package Dimension on Pallet Height '[mm']]])</f>
        <v>800</v>
      </c>
      <c r="O4" s="15">
        <f>IF(DesignTable[[#This Row],[swPalletLength]]="","",VALUE(DesignTable[[#This Row],[swPalletLength]]))</f>
        <v>1200</v>
      </c>
      <c r="P4" s="15">
        <f>IF(DesignTable[[#This Row],[swPalletWidth]]="","",VALUE(DesignTable[[#This Row],[swPalletWidth]]))</f>
        <v>800</v>
      </c>
      <c r="Q4" s="15">
        <f>IF(DesignTable[[#This Row],[Round Alligment Pattern State]]=1,IF(OR(DesignTable[[#This Row],[swLenghtQtty]]="",DesignTable[[#This Row],[swPackageLength]]=""),"",IF(IF(DesignTable[[#This Row],[Additional Box Quantity on Pallet Length]]&gt;=1,(DesignTable[[#This Row],[swLenghtQtty]]*DesignTable[[#This Row],[swPackageLength]]+DesignTable[[#This Row],[swPackageWidth]]),DesignTable[[#This Row],[swLenghtQtty]]*DesignTable[[#This Row],[swPackageLength]])&gt;=IF(DesignTable[[#This Row],[Additional Box Quantity on Pallet Width]]&gt;=1,DesignTable[[#This Row],[Additional Box Quantity on Pallet Width]]*DesignTable[[#This Row],[swPackageWidth]],0),IF(DesignTable[[#This Row],[Additional Box Quantity on Pallet Length]]&gt;=1,(DesignTable[[#This Row],[swLenghtQtty]]*DesignTable[[#This Row],[swPackageLength]]+DesignTable[[#This Row],[swPackageWidth]]),DesignTable[[#This Row],[swLenghtQtty]]*DesignTable[[#This Row],[swPackageLength]]),IF(DesignTable[[#This Row],[Additional Box Quantity on Pallet Width]]&gt;=1,DesignTable[[#This Row],[Additional Box Quantity on Pallet Width]]*DesignTable[[#This Row],[swPackageWidth]],0))),DesignTable[[#This Row],[swPackageLength]]*DesignTable[[#This Row],[swLenghtQtty]]+DesignTable[[#This Row],[swPackageWidth]])</f>
        <v>1100</v>
      </c>
      <c r="R4" s="15">
        <f>IF(DesignTable[[#This Row],[Round Alligment Pattern State]]=1,IF(OR(DesignTable[[#This Row],[swWidthQtty]]="",DesignTable[[#This Row],[swPackageWidth]]=""),"",IF(IF(DesignTable[[#This Row],[Additional Box Quantity on Pallet Width]]&gt;=1,(DesignTable[[#This Row],[swWidthQtty]]*DesignTable[[#This Row],[swPackageWidth]]+DesignTable[[#This Row],[swPackageLength]]),DesignTable[[#This Row],[swWidthQtty]]*DesignTable[[#This Row],[swPackageWidth]])&gt;=IF(DesignTable[[#This Row],[Additional Box Quantity on Pallet Length]]&gt;=1,DesignTable[[#This Row],[Additional Box Quantity on Pallet Length]]*DesignTable[[#This Row],[swPackageLength]],0),IF(DesignTable[[#This Row],[Additional Box Quantity on Pallet Width]]&gt;=1,(DesignTable[[#This Row],[swWidthQtty]]*DesignTable[[#This Row],[swPackageWidth]]+DesignTable[[#This Row],[swPackageLength]]),DesignTable[[#This Row],[swWidthQtty]]*DesignTable[[#This Row],[swPackageWidth]]),IF(DesignTable[[#This Row],[Additional Box Quantity on Pallet Length]]&gt;=1,DesignTable[[#This Row],[Additional Box Quantity on Pallet Length]]*DesignTable[[#This Row],[swPackageLength]],0))),DesignTable[[#This Row],[swPackageLength]]+DesignTable[[#This Row],[swPackageWidth]])</f>
        <v>700</v>
      </c>
      <c r="S4" s="16" t="str">
        <f>IF(DesignTable[[#This Row],[Nominal Pallet Dimension '[mm']]]="","",DesignTable[[#This Row],[Nominal Pallet Dimension '[mm']]])</f>
        <v>1200x800</v>
      </c>
      <c r="T4" s="15">
        <f>IF(DesignTable[[#This Row],[Round Alligment Pattern State]]=1,IF(DesignTable[[#This Row],[swAddLengthQtty]]&lt;=1,(DesignTable[[#This Row],[swPackageLength]]/2),(DesignTable[[#This Row],[swPackageLength]]/2)*DesignTable[[#This Row],[swAddLengthQtty]]),(DesignTable[[#This Row],[swPackageLength]]+DesignTable[[#This Row],[swPackageWidth]])/2)</f>
        <v>275</v>
      </c>
      <c r="U4" s="15">
        <f>IF(DesignTable[[#This Row],[swAddWidthQtty]]&lt;=1,(DesignTable[[#This Row],[swPackageWidth]]/2),(DesignTable[[#This Row],[swPackageWidth]]/2)*DesignTable[[#This Row],[swAddWidthQtty]])</f>
        <v>350</v>
      </c>
      <c r="V4" s="15">
        <f>IF(OR(DesignTable[[#This Row],[Additional Box Quantity on Pallet Length]]&lt;1,DesignTable[[#This Row],[Additional Box Quantity on Pallet Length]]=""),1,0)</f>
        <v>1</v>
      </c>
      <c r="W4" s="15">
        <f>IF(OR(DesignTable[[#This Row],[Additional Box Quantity on Pallet Length]]&lt;1,DesignTable[[#This Row],[Additional Box Quantity on Pallet Length]]=""),1,0)</f>
        <v>1</v>
      </c>
      <c r="X4" s="15">
        <f>IF(OR(DesignTable[[#This Row],[Additional Box Quantity on Pallet Width]]&lt;1,DesignTable[[#This Row],[Additional Box Quantity on Pallet Width]]=""),1,0)</f>
        <v>1</v>
      </c>
      <c r="Y4" s="15">
        <f>IF(OR(DesignTable[[#This Row],[Additional Box Quantity on Pallet Width]]&lt;1,DesignTable[[#This Row],[Additional Box Quantity on Pallet Width]]=""),1,0)</f>
        <v>1</v>
      </c>
      <c r="Z4" s="15">
        <f>IF(DesignTable[[#This Row],[Round alligment]]="True",0,1)</f>
        <v>1</v>
      </c>
      <c r="AA4" s="15">
        <f>IF(DesignTable[Underlay thickness '[mm']]&lt;=1,1,DesignTable[Underlay thickness '[mm']])</f>
        <v>16</v>
      </c>
      <c r="AB4" s="3" t="s">
        <v>82</v>
      </c>
      <c r="AC4" s="14">
        <v>700</v>
      </c>
      <c r="AD4" s="14">
        <v>800</v>
      </c>
      <c r="AE4" s="14">
        <v>550</v>
      </c>
      <c r="AF4" s="14">
        <v>18</v>
      </c>
      <c r="AG4" s="8" t="s">
        <v>14</v>
      </c>
      <c r="AH4" s="31">
        <v>2500</v>
      </c>
      <c r="AI4" s="14">
        <v>3</v>
      </c>
      <c r="AJ4" s="19">
        <v>10</v>
      </c>
      <c r="AK4" s="18" t="s">
        <v>93</v>
      </c>
      <c r="AL4" s="18" t="s">
        <v>74</v>
      </c>
      <c r="AM4" s="19">
        <v>16</v>
      </c>
      <c r="AN4" s="30" t="s">
        <v>91</v>
      </c>
      <c r="AO4" s="29">
        <v>550</v>
      </c>
      <c r="AP4" s="29">
        <v>700</v>
      </c>
      <c r="AQ4" s="29">
        <v>800</v>
      </c>
      <c r="AR4" s="29">
        <v>2</v>
      </c>
      <c r="AS4" s="29">
        <v>1</v>
      </c>
      <c r="AT4" s="29">
        <v>0</v>
      </c>
      <c r="AU4" s="29">
        <v>0</v>
      </c>
      <c r="AV4" s="29">
        <v>2</v>
      </c>
      <c r="AW4" s="15" t="str">
        <f>IF(OR(DesignTable[Box Quantity on Pallet Length]="",DesignTable[Package Dimension on Pallet Length '[mm']]="",DesignTable[Nominal Pallet Dimension '[mm']]=""),"",IF(VALUE(DesignTable[swLoadLength])&gt;=VALUE(LEFT(DesignTable[Nominal Pallet Dimension '[mm']], FIND("x",DesignTable[Nominal Pallet Dimension '[mm']],1)-1)),IF(DesignTable[Underlay Use]="True",DesignTable[swLoadLength]+UnderlayOversizeModifier,DesignTable[swLoadLength]),LEFT(DesignTable[Nominal Pallet Dimension '[mm']], FIND("x",DesignTable[Nominal Pallet Dimension '[mm']],1)-1)))</f>
        <v>1200</v>
      </c>
      <c r="AX4" s="15" t="str">
        <f>IF(OR(AS4="",AP4="",$S4=""),"",IF(VALUE(DesignTable[swLoadWidth])&gt;=VALUE(RIGHT(DesignTable[swPalletDimension (2nd)], LEN(DesignTable[swPalletDimension (2nd)]) - FIND("x",DesignTable[swPalletDimension (2nd)],1))),IF(DesignTable[Underlay Use]="True",DesignTable[swLoadWidth]+UnderlayOversizeModifier,DesignTable[swLoadWidth]),RIGHT(DesignTable[swPalletDimension (2nd)], LEN(DesignTable[swPalletDimension (2nd)]) - FIND("x",DesignTable[swPalletDimension (2nd)],1))))</f>
        <v>800</v>
      </c>
      <c r="AY4" s="15">
        <f>IF(OR(DesignTable[[#This Row],[Layers Quantity]]="",DesignTable[[#This Row],[Package Dimension on Pallet Height '[mm']]]=""),"",DesignTable[[#This Row],[Layers Quantity]]*DesignTable[[#This Row],[Package Dimension on Pallet Height '[mm']]]+NominalPalletHeight +IF(DesignTable[Underlay Use]="True",DesignTable[Underlay thickness '[mm']],0))</f>
        <v>1760</v>
      </c>
      <c r="AZ4" s="15">
        <f>IF(OR(DesignTable[[#This Row],[Pallet Length '[mm']]]="",DesignTable[[#This Row],[Pallet Width '[mm']]]=""),"",(DesignTable[[#This Row],[Pallet Length '[mm']]]*DesignTable[[#This Row],[Pallet Width '[mm']]]*12)/1000^3*720+DesignTable[[#This Row],[Pallet Quantity]]*DesignTable[[#This Row],[Gross weight '[kg']]]+15)</f>
        <v>95.294399999999996</v>
      </c>
      <c r="BA4" s="15">
        <f>IF(DesignTable[[#This Row],[Round Alligment Pattern State]]=1,IF(OR(DesignTable[[#This Row],[Box Quantity on Pallet Width]]="",DesignTable[[#This Row],[Box Quantity on Pallet Length]]="",DesignTable[[#This Row],[Layers Quantity]]=""),"",((DesignTable[[#This Row],[Box Quantity on Pallet Width]]*DesignTable[[#This Row],[Box Quantity on Pallet Length]])+DesignTable[[#This Row],[Additional Box Quantity on Pallet Length]]+DesignTable[[#This Row],[Additional Box Quantity on Pallet Width]])*DesignTable[[#This Row],[Layers Quantity]]),(DesignTable[[#This Row],[Box Quantity on Pallet Length]]+DesignTable[[#This Row],[Additional Box Quantity on Pallet Length]])*2*DesignTable[[#This Row],[Layers Quantity]])</f>
        <v>4</v>
      </c>
      <c r="BB4" s="17" t="s">
        <v>90</v>
      </c>
      <c r="BC4" s="1"/>
      <c r="BD4" s="1"/>
      <c r="BR4" s="1"/>
    </row>
  </sheetData>
  <sheetProtection sheet="1" objects="1" scenarios="1" formatColumns="0" formatRows="0"/>
  <conditionalFormatting sqref="AW4">
    <cfRule type="expression" dxfId="58" priority="11">
      <formula>VALUE($AW4)&gt;VALUE(LEFT($S4, FIND("x",$S4,1)-1))</formula>
    </cfRule>
  </conditionalFormatting>
  <conditionalFormatting sqref="AX4">
    <cfRule type="expression" dxfId="57" priority="12">
      <formula>VALUE($AX4)&gt;VALUE(RIGHT($S4, LEN($S4) - FIND("x",$S4,1)))</formula>
    </cfRule>
  </conditionalFormatting>
  <dataValidations count="12">
    <dataValidation type="list" allowBlank="1" showInputMessage="1" showErrorMessage="1" sqref="BB4">
      <formula1>"Automatic,Manual"</formula1>
    </dataValidation>
    <dataValidation allowBlank="1" promptTitle="$PRP@Max Pallet Overlay" prompt="60" sqref="AJ4"/>
    <dataValidation allowBlank="1" showErrorMessage="1" sqref="AY4 BA4 B4:R4 Z4:AB4"/>
    <dataValidation type="decimal" allowBlank="1" showErrorMessage="1" sqref="AO4:AQ4">
      <formula1>0.1</formula1>
      <formula2>5000</formula2>
    </dataValidation>
    <dataValidation type="whole" operator="greaterThanOrEqual" allowBlank="1" showErrorMessage="1" errorTitle="Błąd SolidWorks:" error="Wprowadziłeś nieprawidłową wartość. Proszę wprowadzić prawidłową wartość przed kontynuowaniem." sqref="AI1 AI4 BP5:BP1048576">
      <formula1>0</formula1>
    </dataValidation>
    <dataValidation type="list" allowBlank="1" showInputMessage="1" showErrorMessage="1" sqref="AK4">
      <formula1>"Up Up,Front Up,Side Up,Anyway Up"</formula1>
    </dataValidation>
    <dataValidation operator="greaterThanOrEqual" allowBlank="1" showErrorMessage="1" errorTitle="Błąd SolidWorks:" error="Wprowadziłeś nieprawidłową wartość. Proszę wprowadzić prawidłową wartość przed kontynuowaniem." sqref="AI3"/>
    <dataValidation type="whole" allowBlank="1" showErrorMessage="1" sqref="AR4:AV4">
      <formula1>0</formula1>
      <formula2>500</formula2>
    </dataValidation>
    <dataValidation type="list" allowBlank="1" showInputMessage="1" showErrorMessage="1" sqref="AL4 AN4">
      <formula1>"False,True"</formula1>
    </dataValidation>
    <dataValidation type="whole" allowBlank="1" showInputMessage="1" showErrorMessage="1" sqref="AM4">
      <formula1>1</formula1>
      <formula2>30</formula2>
    </dataValidation>
    <dataValidation type="decimal" allowBlank="1" showErrorMessage="1" sqref="AC4:AF4">
      <formula1>0.1</formula1>
      <formula2>3000</formula2>
    </dataValidation>
    <dataValidation type="list" allowBlank="1" showInputMessage="1" showErrorMessage="1" sqref="AG4">
      <formula1>PalletDatabase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4"/>
  <sheetViews>
    <sheetView workbookViewId="0">
      <selection activeCell="C12" sqref="C12"/>
    </sheetView>
  </sheetViews>
  <sheetFormatPr defaultRowHeight="15" x14ac:dyDescent="0.25"/>
  <sheetData>
    <row r="3" spans="1:1" x14ac:dyDescent="0.25">
      <c r="A3" t="s">
        <v>14</v>
      </c>
    </row>
    <row r="4" spans="1:1" x14ac:dyDescent="0.25">
      <c r="A4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DesignTable</vt:lpstr>
      <vt:lpstr>Settings</vt:lpstr>
    </vt:vector>
  </TitlesOfParts>
  <Company>Sanitec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grzeslakk</dc:creator>
  <cp:lastModifiedBy>Krzysztof Grzeslak</cp:lastModifiedBy>
  <dcterms:created xsi:type="dcterms:W3CDTF">2015-09-01T10:52:21Z</dcterms:created>
  <dcterms:modified xsi:type="dcterms:W3CDTF">2016-12-12T13:24:10Z</dcterms:modified>
</cp:coreProperties>
</file>